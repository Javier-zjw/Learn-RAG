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订单明细" sheetId="1" state="visible" r:id="rId3"/>
    <sheet name="区域汇总" sheetId="2" state="visible" r:id="rId4"/>
    <sheet name="填表说明" sheetId="3" state="visible" r:id="rId5"/>
    <sheet name="临时计算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<sst xmlns="http://schemas.openxmlformats.org/spreadsheetml/2006/main" count="45" uniqueCount="34">
  <si>
    <r>
      <rPr>
        <b val="true"/>
        <sz val="14"/>
        <rFont val="Cambria"/>
        <family val="0"/>
        <charset val="1"/>
      </rPr>
      <t xml:space="preserve">2025 </t>
    </r>
    <r>
      <rPr>
        <b val="true"/>
        <sz val="14"/>
        <rFont val="WenQuanYi Zen Hei"/>
        <family val="2"/>
      </rPr>
      <t xml:space="preserve">年第四季度订单明细</t>
    </r>
  </si>
  <si>
    <t xml:space="preserve">订单号</t>
  </si>
  <si>
    <t xml:space="preserve">下单日期</t>
  </si>
  <si>
    <t xml:space="preserve">区域</t>
  </si>
  <si>
    <t xml:space="preserve">产品</t>
  </si>
  <si>
    <t xml:space="preserve">数量</t>
  </si>
  <si>
    <t xml:space="preserve">单价（元）</t>
  </si>
  <si>
    <t xml:space="preserve">金额（元）</t>
  </si>
  <si>
    <t xml:space="preserve">折扣率</t>
  </si>
  <si>
    <t xml:space="preserve">库存（套）</t>
  </si>
  <si>
    <t xml:space="preserve">XH-1001</t>
  </si>
  <si>
    <t xml:space="preserve">华东</t>
  </si>
  <si>
    <t xml:space="preserve">数据平台标准版</t>
  </si>
  <si>
    <t xml:space="preserve">数据平台基础版</t>
  </si>
  <si>
    <t xml:space="preserve">XH-1002</t>
  </si>
  <si>
    <t xml:space="preserve">华南</t>
  </si>
  <si>
    <t xml:space="preserve">数据平台企业版</t>
  </si>
  <si>
    <t xml:space="preserve">XH-1003</t>
  </si>
  <si>
    <t xml:space="preserve">华北</t>
  </si>
  <si>
    <t xml:space="preserve">运维服务包</t>
  </si>
  <si>
    <t xml:space="preserve">XH-1004</t>
  </si>
  <si>
    <t xml:space="preserve">西南</t>
  </si>
  <si>
    <t xml:space="preserve">XH-1005</t>
  </si>
  <si>
    <t xml:space="preserve">合计</t>
  </si>
  <si>
    <t xml:space="preserve">Q1</t>
  </si>
  <si>
    <t xml:space="preserve">Q2</t>
  </si>
  <si>
    <t xml:space="preserve">Q3</t>
  </si>
  <si>
    <t xml:space="preserve">Q4</t>
  </si>
  <si>
    <t xml:space="preserve">全年</t>
  </si>
  <si>
    <t xml:space="preserve">占比</t>
  </si>
  <si>
    <t xml:space="preserve">填表说明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</si>
  <si>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WenQuanYi Zen Hei"/>
        <family val="2"/>
      </rPr>
      <t xml:space="preserve">金额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WenQuanYi Zen Hei"/>
        <family val="2"/>
      </rPr>
      <t xml:space="preserve">数量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单价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WenQuanYi Zen Hei"/>
        <family val="2"/>
      </rPr>
      <t xml:space="preserve">折扣率），由公式自动计算，请勿手工修改。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</si>
  <si>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WenQuanYi Zen Hei"/>
        <family val="2"/>
      </rPr>
      <t xml:space="preserve">折扣率超过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WenQuanYi Zen Hei"/>
        <family val="2"/>
      </rPr>
      <t xml:space="preserve">需要销售总监审批。</t>
    </r>
  </si>
  <si>
    <t xml:space="preserve">这是隐藏工作表中的内容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</si>
</sst>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4"/>
      <name val="WenQuanYi Zen Hei"/>
      <family val="2"/>
    </font>
    <font>
      <sz val="11"/>
      <color theme="1"/>
      <name val="WenQuanYi Zen He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各区域季度营收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区域汇总!B1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区域汇总!$A$2:$A$5</c:f>
              <c:strCache>
                <c:ptCount val="4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</c:strCache>
            </c:strRef>
          </c:cat>
          <c:val>
            <c:numRef>
              <c:f>区域汇总!$B$2:$B$5</c:f>
              <c:numCache>
                <c:formatCode>General</c:formatCode>
                <c:ptCount val="4"/>
                <c:pt idx="0">
                  <c:v>320</c:v>
                </c:pt>
                <c:pt idx="1">
                  <c:v>280</c:v>
                </c:pt>
                <c:pt idx="2">
                  <c:v>260</c:v>
                </c:pt>
                <c:pt idx="3">
                  <c:v>150</c:v>
                </c:pt>
              </c:numCache>
            </c:numRef>
          </c:val>
        </c:ser>
        <c:ser>
          <c:idx val="1"/>
          <c:order val="1"/>
          <c:tx>
            <c:strRef>
              <c:f>区域汇总!C1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区域汇总!$A$2:$A$5</c:f>
              <c:strCache>
                <c:ptCount val="4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</c:strCache>
            </c:strRef>
          </c:cat>
          <c:val>
            <c:numRef>
              <c:f>区域汇总!$C$2:$C$5</c:f>
              <c:numCache>
                <c:formatCode>General</c:formatCode>
                <c:ptCount val="4"/>
                <c:pt idx="0">
                  <c:v>360</c:v>
                </c:pt>
                <c:pt idx="1">
                  <c:v>300</c:v>
                </c:pt>
                <c:pt idx="2">
                  <c:v>270</c:v>
                </c:pt>
                <c:pt idx="3">
                  <c:v>170</c:v>
                </c:pt>
              </c:numCache>
            </c:numRef>
          </c:val>
        </c:ser>
        <c:ser>
          <c:idx val="2"/>
          <c:order val="2"/>
          <c:tx>
            <c:strRef>
              <c:f>区域汇总!D1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区域汇总!$A$2:$A$5</c:f>
              <c:strCache>
                <c:ptCount val="4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</c:strCache>
            </c:strRef>
          </c:cat>
          <c:val>
            <c:numRef>
              <c:f>区域汇总!$D$2:$D$5</c:f>
              <c:numCache>
                <c:formatCode>General</c:formatCode>
                <c:ptCount val="4"/>
                <c:pt idx="0">
                  <c:v>410</c:v>
                </c:pt>
                <c:pt idx="1">
                  <c:v>350</c:v>
                </c:pt>
                <c:pt idx="2">
                  <c:v>330</c:v>
                </c:pt>
                <c:pt idx="3">
                  <c:v>200</c:v>
                </c:pt>
              </c:numCache>
            </c:numRef>
          </c:val>
        </c:ser>
        <c:ser>
          <c:idx val="3"/>
          <c:order val="3"/>
          <c:tx>
            <c:strRef>
              <c:f>区域汇总!E1</c:f>
              <c:strCache>
                <c:ptCount val="1"/>
                <c:pt idx="0">
                  <c:v>Q4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区域汇总!$A$2:$A$5</c:f>
              <c:strCache>
                <c:ptCount val="4"/>
                <c:pt idx="0">
                  <c:v>华东</c:v>
                </c:pt>
                <c:pt idx="1">
                  <c:v>华南</c:v>
                </c:pt>
                <c:pt idx="2">
                  <c:v>华北</c:v>
                </c:pt>
                <c:pt idx="3">
                  <c:v>西南</c:v>
                </c:pt>
              </c:strCache>
            </c:strRef>
          </c:cat>
          <c:val>
            <c:numRef>
              <c:f>区域汇总!$E$2:$E$5</c:f>
              <c:numCache>
                <c:formatCode>General</c:formatCode>
                <c:ptCount val="4"/>
                <c:pt idx="0">
                  <c:v>480</c:v>
                </c:pt>
                <c:pt idx="1">
                  <c:v>390</c:v>
                </c:pt>
                <c:pt idx="2">
                  <c:v>380</c:v>
                </c:pt>
                <c:pt idx="3">
                  <c:v>230</c:v>
                </c:pt>
              </c:numCache>
            </c:numRef>
          </c:val>
        </c:ser>
        <c:gapWidth val="150"/>
        <c:overlap val="0"/>
        <c:axId val="41405393"/>
        <c:axId val="50023069"/>
      </c:barChart>
      <c:catAx>
        <c:axId val="414053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23069"/>
        <c:crosses val="autoZero"/>
        <c:auto val="1"/>
        <c:lblAlgn val="ctr"/>
        <c:lblOffset val="100"/>
        <c:noMultiLvlLbl val="0"/>
      </c:catAx>
      <c:valAx>
        <c:axId val="500230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万元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053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15</xdr:col>
      <xdr:colOff>87840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607068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9.4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K3" s="2" t="s">
        <v>4</v>
      </c>
      <c r="L3" s="2" t="s">
        <v>9</v>
      </c>
    </row>
    <row r="4" customFormat="false" ht="15" hidden="false" customHeight="false" outlineLevel="0" collapsed="false">
      <c r="A4" s="0" t="s">
        <v>10</v>
      </c>
      <c r="B4" s="3" t="n">
        <v>45938</v>
      </c>
      <c r="C4" s="2" t="s">
        <v>11</v>
      </c>
      <c r="D4" s="2" t="s">
        <v>12</v>
      </c>
      <c r="E4" s="0" t="n">
        <v>3</v>
      </c>
      <c r="F4" s="0" t="n">
        <v>29990</v>
      </c>
      <c r="G4" s="2" t="n">
        <f aca="false">E4*F4*(1-H4)</f>
        <v>85471.5</v>
      </c>
      <c r="H4" s="4" t="n">
        <v>0.05</v>
      </c>
      <c r="K4" s="2" t="s">
        <v>13</v>
      </c>
      <c r="L4" s="0" t="n">
        <v>120</v>
      </c>
    </row>
    <row r="5" customFormat="false" ht="15" hidden="false" customHeight="false" outlineLevel="0" collapsed="false">
      <c r="A5" s="0" t="s">
        <v>14</v>
      </c>
      <c r="B5" s="3" t="n">
        <v>45951</v>
      </c>
      <c r="C5" s="2" t="s">
        <v>15</v>
      </c>
      <c r="D5" s="2" t="s">
        <v>16</v>
      </c>
      <c r="E5" s="0" t="n">
        <v>1</v>
      </c>
      <c r="F5" s="0" t="n">
        <v>120000</v>
      </c>
      <c r="G5" s="2" t="n">
        <f aca="false">E5*F5*(1-H5)</f>
        <v>108000</v>
      </c>
      <c r="H5" s="4" t="n">
        <v>0.1</v>
      </c>
      <c r="K5" s="2" t="s">
        <v>12</v>
      </c>
      <c r="L5" s="0" t="n">
        <v>45</v>
      </c>
    </row>
    <row r="6" customFormat="false" ht="15" hidden="false" customHeight="false" outlineLevel="0" collapsed="false">
      <c r="A6" s="0" t="s">
        <v>17</v>
      </c>
      <c r="B6" s="3" t="n">
        <v>45964</v>
      </c>
      <c r="C6" s="2" t="s">
        <v>18</v>
      </c>
      <c r="D6" s="2" t="s">
        <v>13</v>
      </c>
      <c r="E6" s="0" t="n">
        <v>10</v>
      </c>
      <c r="F6" s="0" t="n">
        <v>9990</v>
      </c>
      <c r="G6" s="2" t="n">
        <f aca="false">E6*F6*(1-H6)</f>
        <v>99900</v>
      </c>
      <c r="H6" s="4" t="n">
        <v>0</v>
      </c>
      <c r="K6" s="2" t="s">
        <v>19</v>
      </c>
      <c r="L6" s="0" t="n">
        <v>30</v>
      </c>
    </row>
    <row r="7" customFormat="false" ht="15" hidden="false" customHeight="false" outlineLevel="0" collapsed="false">
      <c r="A7" s="0" t="s">
        <v>20</v>
      </c>
      <c r="B7" s="3" t="n">
        <v>45978</v>
      </c>
      <c r="C7" s="2" t="s">
        <v>21</v>
      </c>
      <c r="D7" s="2" t="s">
        <v>12</v>
      </c>
      <c r="E7" s="0" t="n">
        <v>2</v>
      </c>
      <c r="F7" s="0" t="n">
        <v>29990</v>
      </c>
      <c r="G7" s="2" t="n">
        <f aca="false">E7*F7*(1-H7)</f>
        <v>59980</v>
      </c>
      <c r="H7" s="4" t="n">
        <v>0</v>
      </c>
    </row>
    <row r="8" customFormat="false" ht="15" hidden="false" customHeight="false" outlineLevel="0" collapsed="false">
      <c r="A8" s="0" t="s">
        <v>22</v>
      </c>
      <c r="B8" s="3" t="n">
        <v>46000</v>
      </c>
      <c r="C8" s="2" t="s">
        <v>11</v>
      </c>
      <c r="D8" s="2" t="s">
        <v>19</v>
      </c>
      <c r="E8" s="0" t="n">
        <v>5</v>
      </c>
      <c r="F8" s="0" t="n">
        <v>18000</v>
      </c>
      <c r="G8" s="2" t="n">
        <f aca="false">E8*F8*(1-H8)</f>
        <v>82800</v>
      </c>
      <c r="H8" s="4" t="n">
        <v>0.08</v>
      </c>
    </row>
    <row r="9" customFormat="false" ht="15" hidden="false" customHeight="false" outlineLevel="0" collapsed="false">
      <c r="A9" s="2" t="s">
        <v>23</v>
      </c>
      <c r="E9" s="0" t="n">
        <f aca="false">SUM(E4:E8)</f>
        <v>21</v>
      </c>
      <c r="G9" s="0" t="n">
        <f aca="false">SUM(G4:G8)</f>
        <v>436151.5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0" t="s">
        <v>24</v>
      </c>
      <c r="C1" s="0" t="s">
        <v>25</v>
      </c>
      <c r="D1" s="0" t="s">
        <v>26</v>
      </c>
      <c r="E1" s="0" t="s">
        <v>27</v>
      </c>
      <c r="F1" s="2" t="s">
        <v>28</v>
      </c>
      <c r="G1" s="2" t="s">
        <v>29</v>
      </c>
    </row>
    <row r="2" customFormat="false" ht="15" hidden="false" customHeight="false" outlineLevel="0" collapsed="false">
      <c r="A2" s="2" t="s">
        <v>11</v>
      </c>
      <c r="B2" s="0" t="n">
        <v>320</v>
      </c>
      <c r="C2" s="0" t="n">
        <v>360</v>
      </c>
      <c r="D2" s="0" t="n">
        <v>410</v>
      </c>
      <c r="E2" s="0" t="n">
        <v>480</v>
      </c>
      <c r="F2" s="0" t="n">
        <f aca="false">SUM(B2:E2)</f>
        <v>1570</v>
      </c>
      <c r="G2" s="5" t="n">
        <f aca="false">F2/SUM($F$2:$F$5)</f>
        <v>0.32172131147541</v>
      </c>
    </row>
    <row r="3" customFormat="false" ht="15" hidden="false" customHeight="false" outlineLevel="0" collapsed="false">
      <c r="A3" s="2" t="s">
        <v>15</v>
      </c>
      <c r="B3" s="0" t="n">
        <v>280</v>
      </c>
      <c r="C3" s="0" t="n">
        <v>300</v>
      </c>
      <c r="D3" s="0" t="n">
        <v>350</v>
      </c>
      <c r="E3" s="0" t="n">
        <v>390</v>
      </c>
      <c r="F3" s="0" t="n">
        <f aca="false">SUM(B3:E3)</f>
        <v>1320</v>
      </c>
      <c r="G3" s="5" t="n">
        <f aca="false">F3/SUM($F$2:$F$5)</f>
        <v>0.270491803278689</v>
      </c>
    </row>
    <row r="4" customFormat="false" ht="15" hidden="false" customHeight="false" outlineLevel="0" collapsed="false">
      <c r="A4" s="2" t="s">
        <v>18</v>
      </c>
      <c r="B4" s="0" t="n">
        <v>260</v>
      </c>
      <c r="C4" s="0" t="n">
        <v>270</v>
      </c>
      <c r="D4" s="0" t="n">
        <v>330</v>
      </c>
      <c r="E4" s="0" t="n">
        <v>380</v>
      </c>
      <c r="F4" s="0" t="n">
        <f aca="false">SUM(B4:E4)</f>
        <v>1240</v>
      </c>
      <c r="G4" s="5" t="n">
        <f aca="false">F4/SUM($F$2:$F$5)</f>
        <v>0.254098360655738</v>
      </c>
    </row>
    <row r="5" customFormat="false" ht="15" hidden="false" customHeight="false" outlineLevel="0" collapsed="false">
      <c r="A5" s="2" t="s">
        <v>21</v>
      </c>
      <c r="B5" s="0" t="n">
        <v>150</v>
      </c>
      <c r="C5" s="0" t="n">
        <v>170</v>
      </c>
      <c r="D5" s="0" t="n">
        <v>200</v>
      </c>
      <c r="E5" s="0" t="n">
        <v>230</v>
      </c>
      <c r="F5" s="0" t="n">
        <f aca="false">SUM(B5:E5)</f>
        <v>750</v>
      </c>
      <c r="G5" s="5" t="n">
        <f aca="false">F5/SUM($F$2:$F$5)</f>
        <v>0.153688524590164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6" t="s">
        <v>30</v>
      </c>
    </row>
    <row r="2" customFormat="false" ht="14.9" hidden="false" customHeight="false" outlineLevel="0" collapsed="false">
      <c r="A2" s="0" t="s">
        <v>31</v>
      </c>
    </row>
    <row r="3" customFormat="false" ht="14.9" hidden="false" customHeight="false" outlineLevel="0" collapsed="false">
      <c r="A3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2026-10-09T07:39:19Z</dcterms:created>
  <dc:creator>openpyxl</dc:creator>
  <dc:description/>
  <dc:language>en-US</dc:language>
  <cp:lastModifiedBy/>
  <dcterms:modified xsi:type="dcterms:W3CDTF">2026-10-09T07:39:19Z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